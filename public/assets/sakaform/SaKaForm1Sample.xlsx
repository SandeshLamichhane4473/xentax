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0824\Documents\xentax\public\assets\sakaform\"/>
    </mc:Choice>
  </mc:AlternateContent>
  <bookViews>
    <workbookView xWindow="0" yWindow="0" windowWidth="15375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H18" i="1"/>
  <c r="I18" i="1"/>
  <c r="J18" i="1"/>
  <c r="K18" i="1"/>
  <c r="L18" i="1"/>
  <c r="M18" i="1"/>
  <c r="N18" i="1"/>
  <c r="O18" i="1"/>
  <c r="P18" i="1"/>
  <c r="Q18" i="1"/>
  <c r="R18" i="1"/>
  <c r="F18" i="1"/>
  <c r="E18" i="1" l="1"/>
  <c r="D18" i="1"/>
  <c r="C18" i="1"/>
  <c r="Q17" i="1"/>
  <c r="Q16" i="1"/>
  <c r="Q15" i="1"/>
  <c r="Q14" i="1"/>
  <c r="Q13" i="1"/>
  <c r="Q12" i="1"/>
  <c r="Q11" i="1"/>
  <c r="R10" i="1"/>
  <c r="Q10" i="1"/>
</calcChain>
</file>

<file path=xl/sharedStrings.xml><?xml version="1.0" encoding="utf-8"?>
<sst xmlns="http://schemas.openxmlformats.org/spreadsheetml/2006/main" count="46" uniqueCount="36">
  <si>
    <t>Branch Name</t>
  </si>
  <si>
    <t>KA 1.1 
DEBIT 
(A)</t>
  </si>
  <si>
    <t>KA 1.1 
CREDIT 
(B)</t>
  </si>
  <si>
    <t>KA 1.1 
DEBIT USD (C)</t>
  </si>
  <si>
    <t>KA 1.1 
CREDIT USD
(D)</t>
  </si>
  <si>
    <t xml:space="preserve">KA-2-1/2.2
DEBIT 
(E) </t>
  </si>
  <si>
    <t>KA-2-1/2.2
CREDIT 
(F)</t>
  </si>
  <si>
    <t xml:space="preserve">OTHER KA A/C
DEBIT 
(G) </t>
  </si>
  <si>
    <t>OTHER KA A/C
CREDIT 
(H)</t>
  </si>
  <si>
    <t>Ka 2.10 Account-Debit 
(I)</t>
  </si>
  <si>
    <t>Ka 2.10 Account Credit
(J)</t>
  </si>
  <si>
    <t>TOTAL GA A/C
DEBIT 
(K)</t>
  </si>
  <si>
    <t>TOTAL GA A/C
CREDIT 
(L)</t>
  </si>
  <si>
    <t>60%  OF GA A/C
DEBIT 
(M)</t>
  </si>
  <si>
    <t>60%  OF GA A/C
CREDIT 
(N)</t>
  </si>
  <si>
    <t>Nepal Bank Limited</t>
  </si>
  <si>
    <t>Consolidated Sa.Ka.Form No.1 of Government Transaction</t>
  </si>
  <si>
    <t>Transaction Date: 2082/01/16</t>
  </si>
  <si>
    <t xml:space="preserve"> </t>
  </si>
  <si>
    <t xml:space="preserve">RECEIVABLE / (PAYABLE)
(A+E+G+I+M+K-B-F-H-J-L-N) </t>
  </si>
  <si>
    <t>USD RECEIVABLE/(PAYABLE) (C-D)</t>
  </si>
  <si>
    <t>11001001</t>
  </si>
  <si>
    <t>MAIN BRANCH (001 )</t>
  </si>
  <si>
    <t>11001002</t>
  </si>
  <si>
    <t>KTM B.O (002 )</t>
  </si>
  <si>
    <t>11001004</t>
  </si>
  <si>
    <t>Nepalgunj Branch (004 )</t>
  </si>
  <si>
    <t>11001014</t>
  </si>
  <si>
    <t>KRISHNANAGAR BRANCH (014 )</t>
  </si>
  <si>
    <t>~~~~~~~</t>
  </si>
  <si>
    <t>GRAND TOTAL:-</t>
  </si>
  <si>
    <t>BranchCode</t>
  </si>
  <si>
    <t>asAS</t>
  </si>
  <si>
    <t>SasAS</t>
  </si>
  <si>
    <t>asA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</si>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</sst>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2" fillId="2" borderId="1" xfId="1" applyFont="1" applyFill="1" applyBorder="1" applyAlignment="1" applyProtection="1">
      <alignment horizontal="center" vertical="center" wrapText="1"/>
      <protection hidden="1"/>
    </xf>
    <xf numFmtId="43" fontId="2" fillId="3" borderId="1" xfId="1" applyFont="1" applyFill="1" applyBorder="1" applyAlignment="1" applyProtection="1">
      <alignment horizontal="center" vertical="center" wrapText="1"/>
      <protection hidden="1"/>
    </xf>
    <xf numFmtId="43" fontId="2" fillId="4" borderId="1" xfId="1" applyFont="1" applyFill="1" applyBorder="1" applyAlignment="1" applyProtection="1">
      <alignment horizontal="center" vertical="center" wrapText="1"/>
      <protection hidden="1"/>
    </xf>
    <xf numFmtId="43" fontId="2" fillId="5" borderId="1" xfId="1" applyFont="1" applyFill="1" applyBorder="1" applyAlignment="1" applyProtection="1">
      <alignment horizontal="center" vertical="center" wrapText="1"/>
      <protection hidden="1"/>
    </xf>
    <xf numFmtId="49" fontId="0" fillId="0" borderId="0" xfId="0" applyNumberFormat="1"/>
    <xf numFmtId="0" fontId="0" fillId="4" borderId="0" xfId="0" applyFill="1"/>
    <xf numFmtId="49" fontId="3" fillId="0" borderId="0" xfId="0" applyNumberFormat="1" applyFont="1"/>
    <xf numFmtId="0" fontId="0" fillId="6" borderId="0" xfId="0" applyFill="1"/>
    <xf numFmtId="49" fontId="3" fillId="6" borderId="0" xfId="0" applyNumberFormat="1" applyFont="1" applyFill="1"/>
    <xf numFmtId="0" fontId="1" fillId="6" borderId="0" xfId="0" applyFont="1" applyFill="1"/>
    <xf numFmtId="0" fontId="0" fillId="6" borderId="0" xfId="0" applyFont="1" applyFill="1"/>
    <xf numFmtId="49" fontId="3" fillId="0" borderId="1" xfId="0" applyNumberFormat="1" applyFont="1" applyBorder="1"/>
    <xf numFmtId="4" fontId="3" fillId="4" borderId="1" xfId="0" applyNumberFormat="1" applyFont="1" applyFill="1" applyBorder="1" applyAlignment="1">
      <alignment horizontal="right"/>
    </xf>
    <xf numFmtId="49" fontId="0" fillId="5" borderId="0" xfId="0" applyNumberFormat="1" applyFill="1"/>
    <xf numFmtId="0" fontId="0" fillId="5" borderId="0" xfId="0" applyFill="1"/>
    <xf numFmtId="4" fontId="0" fillId="5" borderId="0" xfId="0" applyNumberFormat="1" applyFill="1" applyAlignment="1">
      <alignment horizontal="right"/>
    </xf>
    <xf numFmtId="4" fontId="1" fillId="5" borderId="0" xfId="0" applyNumberFormat="1" applyFont="1" applyFill="1" applyAlignment="1">
      <alignment horizontal="right"/>
    </xf>
    <xf numFmtId="0" fontId="3" fillId="0" borderId="1" xfId="0" applyFont="1" applyBorder="1"/>
    <xf numFmtId="4" fontId="0" fillId="0" borderId="1" xfId="0" applyNumberFormat="1" applyFont="1" applyBorder="1" applyAlignment="1">
      <alignment horizontal="right"/>
    </xf>
    <xf numFmtId="4" fontId="0" fillId="4" borderId="1" xfId="0" applyNumberFormat="1" applyFont="1" applyFill="1" applyBorder="1" applyAlignment="1">
      <alignment horizontal="right"/>
    </xf>
    <xf numFmtId="4" fontId="0" fillId="4" borderId="1" xfId="0" applyNumberFormat="1" applyFont="1" applyFill="1" applyBorder="1"/>
    <xf numFmtId="0" fontId="0" fillId="4" borderId="1" xfId="0" applyFont="1" applyFill="1" applyBorder="1"/>
    <xf numFmtId="4" fontId="3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507235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31127-2F5B-4091-B5AC-BD9A20CE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0"/>
          <a:ext cx="5688835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A20" sqref="A20"/>
    </sheetView>
  </sheetViews>
  <sheetFormatPr defaultRowHeight="15" x14ac:dyDescent="0.25"/>
  <cols>
    <col min="1" max="1" width="15.140625" style="5" customWidth="1"/>
    <col min="2" max="2" width="24.5703125" customWidth="1"/>
    <col min="3" max="3" width="10.85546875" customWidth="1"/>
    <col min="4" max="4" width="14.85546875" customWidth="1"/>
    <col min="5" max="5" width="14" customWidth="1"/>
    <col min="6" max="6" width="13.42578125" customWidth="1"/>
    <col min="7" max="7" width="15" customWidth="1"/>
    <col min="8" max="8" width="14.42578125" customWidth="1"/>
    <col min="9" max="9" width="14.7109375" customWidth="1"/>
    <col min="10" max="10" width="12.7109375" customWidth="1"/>
    <col min="11" max="11" width="19.5703125" customWidth="1"/>
    <col min="12" max="12" width="14.5703125" customWidth="1"/>
    <col min="13" max="13" width="15.28515625" customWidth="1"/>
    <col min="14" max="14" width="16" customWidth="1"/>
    <col min="15" max="15" width="12.7109375" customWidth="1"/>
    <col min="16" max="16" width="12.42578125" customWidth="1"/>
    <col min="17" max="17" width="14.28515625" customWidth="1"/>
    <col min="18" max="18" width="9.85546875" bestFit="1" customWidth="1"/>
  </cols>
  <sheetData>
    <row r="1" spans="1:19" x14ac:dyDescent="0.25">
      <c r="A1"/>
      <c r="E1" s="10"/>
      <c r="F1" s="10"/>
      <c r="K1" s="15"/>
      <c r="L1" s="15"/>
      <c r="R1" s="6"/>
    </row>
    <row r="2" spans="1:19" x14ac:dyDescent="0.25">
      <c r="A2"/>
      <c r="E2" s="10"/>
      <c r="F2" s="10"/>
      <c r="K2" s="15"/>
      <c r="L2" s="15"/>
      <c r="R2" s="6"/>
    </row>
    <row r="3" spans="1:19" x14ac:dyDescent="0.25">
      <c r="A3"/>
      <c r="E3" s="10"/>
      <c r="F3" s="10"/>
      <c r="K3" s="15"/>
      <c r="L3" s="15"/>
      <c r="R3" s="6"/>
    </row>
    <row r="4" spans="1:19" x14ac:dyDescent="0.25">
      <c r="A4"/>
      <c r="E4" s="10"/>
      <c r="F4" s="10"/>
      <c r="K4" s="15"/>
      <c r="L4" s="15"/>
      <c r="R4" s="6"/>
    </row>
    <row r="5" spans="1:19" x14ac:dyDescent="0.25">
      <c r="A5"/>
      <c r="E5" s="10"/>
      <c r="F5" s="10"/>
      <c r="K5" s="15"/>
      <c r="L5" s="15"/>
      <c r="R5" s="6"/>
    </row>
    <row r="6" spans="1:19" x14ac:dyDescent="0.25">
      <c r="A6"/>
      <c r="B6" s="7" t="s">
        <v>15</v>
      </c>
      <c r="E6" s="10"/>
      <c r="F6" s="10"/>
      <c r="K6" s="15"/>
      <c r="L6" s="15"/>
      <c r="R6" s="6"/>
    </row>
    <row r="7" spans="1:19" ht="53.25" customHeight="1" x14ac:dyDescent="0.25">
      <c r="A7"/>
      <c r="B7" s="7" t="s">
        <v>16</v>
      </c>
      <c r="E7" s="10"/>
      <c r="F7" s="10"/>
      <c r="K7" s="15"/>
      <c r="L7" s="15"/>
      <c r="R7" s="6"/>
    </row>
    <row r="8" spans="1:19" x14ac:dyDescent="0.25">
      <c r="A8" s="8"/>
      <c r="B8" s="9" t="s">
        <v>17</v>
      </c>
      <c r="C8" s="8" t="s">
        <v>18</v>
      </c>
      <c r="D8" s="8"/>
      <c r="E8" s="10"/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6" t="s">
        <v>18</v>
      </c>
      <c r="S8" s="8"/>
    </row>
    <row r="9" spans="1:19" ht="99.75" x14ac:dyDescent="0.25">
      <c r="A9" s="18" t="s">
        <v>31</v>
      </c>
      <c r="B9" s="18" t="s">
        <v>0</v>
      </c>
      <c r="C9" s="1" t="s">
        <v>1</v>
      </c>
      <c r="D9" s="2" t="s">
        <v>2</v>
      </c>
      <c r="E9" s="3" t="s">
        <v>3</v>
      </c>
      <c r="F9" s="3" t="s">
        <v>4</v>
      </c>
      <c r="G9" s="4" t="s">
        <v>5</v>
      </c>
      <c r="H9" s="2" t="s">
        <v>6</v>
      </c>
      <c r="I9" s="2" t="s">
        <v>7</v>
      </c>
      <c r="J9" s="2" t="s">
        <v>8</v>
      </c>
      <c r="K9" s="3" t="s">
        <v>9</v>
      </c>
      <c r="L9" s="3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19</v>
      </c>
      <c r="R9" s="3" t="s">
        <v>20</v>
      </c>
    </row>
    <row r="10" spans="1:19" x14ac:dyDescent="0.25">
      <c r="A10" s="12" t="s">
        <v>21</v>
      </c>
      <c r="B10" s="12" t="s">
        <v>22</v>
      </c>
      <c r="C10" s="19">
        <v>0</v>
      </c>
      <c r="D10" s="19">
        <v>249209213.71000001</v>
      </c>
      <c r="E10" s="20">
        <v>0</v>
      </c>
      <c r="F10" s="20">
        <v>20000</v>
      </c>
      <c r="G10" s="19">
        <v>0</v>
      </c>
      <c r="H10" s="19">
        <v>0</v>
      </c>
      <c r="I10" s="19">
        <v>0</v>
      </c>
      <c r="J10" s="19">
        <v>0</v>
      </c>
      <c r="K10" s="20">
        <v>0</v>
      </c>
      <c r="L10" s="20">
        <v>0</v>
      </c>
      <c r="M10" s="19">
        <v>0</v>
      </c>
      <c r="N10" s="19">
        <v>0</v>
      </c>
      <c r="O10" s="19">
        <v>0</v>
      </c>
      <c r="P10" s="19">
        <v>0</v>
      </c>
      <c r="Q10" s="19">
        <f>C10+G10+I10+K10+M10-D10-H10-J10-L10-N10</f>
        <v>-249209213.71000001</v>
      </c>
      <c r="R10" s="21">
        <f>E10-F10</f>
        <v>-20000</v>
      </c>
    </row>
    <row r="11" spans="1:19" x14ac:dyDescent="0.25">
      <c r="A11" s="12" t="s">
        <v>23</v>
      </c>
      <c r="B11" s="12" t="s">
        <v>24</v>
      </c>
      <c r="C11" s="19">
        <v>0</v>
      </c>
      <c r="D11" s="19">
        <v>0</v>
      </c>
      <c r="E11" s="20">
        <v>0</v>
      </c>
      <c r="F11" s="20">
        <v>0</v>
      </c>
      <c r="G11" s="19">
        <v>140974850.69999999</v>
      </c>
      <c r="H11" s="19">
        <v>0</v>
      </c>
      <c r="I11" s="19">
        <v>959367</v>
      </c>
      <c r="J11" s="19">
        <v>7534772.8700000001</v>
      </c>
      <c r="K11" s="20">
        <v>0</v>
      </c>
      <c r="L11" s="20">
        <v>959367</v>
      </c>
      <c r="M11" s="19">
        <v>0</v>
      </c>
      <c r="N11" s="19">
        <v>0</v>
      </c>
      <c r="O11" s="19">
        <v>0</v>
      </c>
      <c r="P11" s="19">
        <v>0</v>
      </c>
      <c r="Q11" s="19">
        <f t="shared" ref="Q11:Q13" si="0">C11+G11+I11+K11+M11-D11-H11-J11-L11-N11</f>
        <v>133440077.82999998</v>
      </c>
      <c r="R11" s="22">
        <v>0</v>
      </c>
    </row>
    <row r="12" spans="1:19" x14ac:dyDescent="0.25">
      <c r="A12" s="12" t="s">
        <v>25</v>
      </c>
      <c r="B12" s="12" t="s">
        <v>26</v>
      </c>
      <c r="C12" s="19">
        <v>0</v>
      </c>
      <c r="D12" s="19">
        <v>0</v>
      </c>
      <c r="E12" s="20">
        <v>0</v>
      </c>
      <c r="F12" s="20">
        <v>0</v>
      </c>
      <c r="G12" s="19">
        <v>0</v>
      </c>
      <c r="H12" s="19">
        <v>0</v>
      </c>
      <c r="I12" s="19">
        <v>0</v>
      </c>
      <c r="J12" s="19">
        <v>3032728</v>
      </c>
      <c r="K12" s="20">
        <v>0</v>
      </c>
      <c r="L12" s="20">
        <v>0</v>
      </c>
      <c r="M12" s="19">
        <v>0</v>
      </c>
      <c r="N12" s="19">
        <v>0</v>
      </c>
      <c r="O12" s="19">
        <v>0</v>
      </c>
      <c r="P12" s="19">
        <v>0</v>
      </c>
      <c r="Q12" s="19">
        <f t="shared" si="0"/>
        <v>-3032728</v>
      </c>
      <c r="R12" s="22">
        <v>0</v>
      </c>
    </row>
    <row r="13" spans="1:19" x14ac:dyDescent="0.25">
      <c r="A13" s="12" t="s">
        <v>27</v>
      </c>
      <c r="B13" s="12" t="s">
        <v>28</v>
      </c>
      <c r="C13" s="19">
        <v>0</v>
      </c>
      <c r="D13" s="19">
        <v>0</v>
      </c>
      <c r="E13" s="20">
        <v>0</v>
      </c>
      <c r="F13" s="20">
        <v>0</v>
      </c>
      <c r="G13" s="19">
        <v>0</v>
      </c>
      <c r="H13" s="19">
        <v>0</v>
      </c>
      <c r="I13" s="19">
        <v>17520791</v>
      </c>
      <c r="J13" s="19">
        <v>14198895</v>
      </c>
      <c r="K13" s="20">
        <v>0</v>
      </c>
      <c r="L13" s="20">
        <v>17520791</v>
      </c>
      <c r="M13" s="19">
        <v>0</v>
      </c>
      <c r="N13" s="19">
        <v>120514.24000000001</v>
      </c>
      <c r="O13" s="19">
        <v>0</v>
      </c>
      <c r="P13" s="19">
        <v>0</v>
      </c>
      <c r="Q13" s="19">
        <f t="shared" si="0"/>
        <v>-14319409.24</v>
      </c>
      <c r="R13" s="22">
        <v>0</v>
      </c>
    </row>
    <row r="14" spans="1:19" x14ac:dyDescent="0.25">
      <c r="A14" s="12" t="s">
        <v>21</v>
      </c>
      <c r="B14" s="12" t="s">
        <v>22</v>
      </c>
      <c r="C14" s="19">
        <v>0</v>
      </c>
      <c r="D14" s="19">
        <v>0</v>
      </c>
      <c r="E14" s="20">
        <v>0</v>
      </c>
      <c r="F14" s="20">
        <v>0</v>
      </c>
      <c r="G14" s="19">
        <v>0</v>
      </c>
      <c r="H14" s="19">
        <v>0</v>
      </c>
      <c r="I14" s="19">
        <v>0</v>
      </c>
      <c r="J14" s="19">
        <v>0</v>
      </c>
      <c r="K14" s="20">
        <v>0</v>
      </c>
      <c r="L14" s="20">
        <v>0</v>
      </c>
      <c r="M14" s="19">
        <v>0</v>
      </c>
      <c r="N14" s="19">
        <v>1722464.83</v>
      </c>
      <c r="O14" s="19">
        <v>0</v>
      </c>
      <c r="P14" s="19">
        <v>0</v>
      </c>
      <c r="Q14" s="19">
        <f t="shared" ref="Q14:Q18" si="1">C14+G14+I14+K14+M14-D14-H14-J14-L14-N14</f>
        <v>-1722464.83</v>
      </c>
      <c r="R14" s="22">
        <v>0</v>
      </c>
    </row>
    <row r="15" spans="1:19" x14ac:dyDescent="0.25">
      <c r="A15" s="12" t="s">
        <v>23</v>
      </c>
      <c r="B15" s="12" t="s">
        <v>24</v>
      </c>
      <c r="C15" s="19">
        <v>0</v>
      </c>
      <c r="D15" s="19">
        <v>0</v>
      </c>
      <c r="E15" s="20">
        <v>0</v>
      </c>
      <c r="F15" s="20">
        <v>0</v>
      </c>
      <c r="G15" s="19">
        <v>0</v>
      </c>
      <c r="H15" s="19">
        <v>0</v>
      </c>
      <c r="I15" s="19">
        <v>0</v>
      </c>
      <c r="J15" s="19">
        <v>0</v>
      </c>
      <c r="K15" s="20">
        <v>0</v>
      </c>
      <c r="L15" s="20">
        <v>0</v>
      </c>
      <c r="M15" s="19">
        <v>9342108.9199999999</v>
      </c>
      <c r="N15" s="19">
        <v>9323900.9199999999</v>
      </c>
      <c r="O15" s="19">
        <v>0</v>
      </c>
      <c r="P15" s="19">
        <v>0</v>
      </c>
      <c r="Q15" s="19">
        <f t="shared" si="1"/>
        <v>18208</v>
      </c>
      <c r="R15" s="22">
        <v>0</v>
      </c>
    </row>
    <row r="16" spans="1:19" x14ac:dyDescent="0.25">
      <c r="A16" s="12" t="s">
        <v>25</v>
      </c>
      <c r="B16" s="12" t="s">
        <v>26</v>
      </c>
      <c r="C16" s="19">
        <v>0</v>
      </c>
      <c r="D16" s="19">
        <v>0</v>
      </c>
      <c r="E16" s="20">
        <v>0</v>
      </c>
      <c r="F16" s="20">
        <v>0</v>
      </c>
      <c r="G16" s="19">
        <v>0</v>
      </c>
      <c r="H16" s="19">
        <v>0</v>
      </c>
      <c r="I16" s="19">
        <v>0</v>
      </c>
      <c r="J16" s="19">
        <v>0</v>
      </c>
      <c r="K16" s="20">
        <v>0</v>
      </c>
      <c r="L16" s="20">
        <v>0</v>
      </c>
      <c r="M16" s="19">
        <v>31920791.75</v>
      </c>
      <c r="N16" s="19">
        <v>6501027.7199999997</v>
      </c>
      <c r="O16" s="19">
        <v>0</v>
      </c>
      <c r="P16" s="19">
        <v>0</v>
      </c>
      <c r="Q16" s="19">
        <f t="shared" si="1"/>
        <v>25419764.030000001</v>
      </c>
      <c r="R16" s="22">
        <v>0</v>
      </c>
    </row>
    <row r="17" spans="1:18" x14ac:dyDescent="0.25">
      <c r="A17" s="12" t="s">
        <v>27</v>
      </c>
      <c r="B17" s="12" t="s">
        <v>28</v>
      </c>
      <c r="C17" s="19">
        <v>0</v>
      </c>
      <c r="D17" s="19">
        <v>0</v>
      </c>
      <c r="E17" s="20">
        <v>0</v>
      </c>
      <c r="F17" s="20">
        <v>0</v>
      </c>
      <c r="G17" s="19">
        <v>0</v>
      </c>
      <c r="H17" s="19">
        <v>0</v>
      </c>
      <c r="I17" s="19">
        <v>0</v>
      </c>
      <c r="J17" s="19">
        <v>0</v>
      </c>
      <c r="K17" s="20">
        <v>0</v>
      </c>
      <c r="L17" s="20">
        <v>0</v>
      </c>
      <c r="M17" s="19">
        <v>1652520.98</v>
      </c>
      <c r="N17" s="19">
        <v>0</v>
      </c>
      <c r="O17" s="19">
        <v>0</v>
      </c>
      <c r="P17" s="19">
        <v>0</v>
      </c>
      <c r="Q17" s="19">
        <f t="shared" si="1"/>
        <v>1652520.98</v>
      </c>
      <c r="R17" s="22">
        <v>0</v>
      </c>
    </row>
    <row r="18" spans="1:18" x14ac:dyDescent="0.25">
      <c r="A18" s="12" t="s">
        <v>29</v>
      </c>
      <c r="B18" s="12" t="s">
        <v>30</v>
      </c>
      <c r="C18" s="23">
        <f t="shared" ref="C18:N18" si="2">SUM(C10:C17)</f>
        <v>0</v>
      </c>
      <c r="D18" s="23">
        <f t="shared" si="2"/>
        <v>249209213.71000001</v>
      </c>
      <c r="E18" s="13">
        <f>SUM(E10:E17)</f>
        <v>0</v>
      </c>
      <c r="F18" s="13">
        <f>SUM(F10+F11+F12+F13+F14+F15+F16+F17)</f>
        <v>20000</v>
      </c>
      <c r="G18" s="13">
        <f t="shared" ref="G18:R18" si="3">SUM(G10+G11+G12+G13+G14+G15+G16+G17)</f>
        <v>140974850.69999999</v>
      </c>
      <c r="H18" s="13">
        <f t="shared" si="3"/>
        <v>0</v>
      </c>
      <c r="I18" s="13">
        <f t="shared" si="3"/>
        <v>18480158</v>
      </c>
      <c r="J18" s="13">
        <f t="shared" si="3"/>
        <v>24766395.870000001</v>
      </c>
      <c r="K18" s="13">
        <f t="shared" si="3"/>
        <v>0</v>
      </c>
      <c r="L18" s="13">
        <f t="shared" si="3"/>
        <v>18480158</v>
      </c>
      <c r="M18" s="13">
        <f t="shared" si="3"/>
        <v>42915421.649999999</v>
      </c>
      <c r="N18" s="13">
        <f t="shared" si="3"/>
        <v>17667907.710000001</v>
      </c>
      <c r="O18" s="13">
        <f t="shared" si="3"/>
        <v>0</v>
      </c>
      <c r="P18" s="13">
        <f t="shared" si="3"/>
        <v>0</v>
      </c>
      <c r="Q18" s="13">
        <f t="shared" si="3"/>
        <v>-107753244.94000001</v>
      </c>
      <c r="R18" s="13">
        <f t="shared" si="3"/>
        <v>-20000</v>
      </c>
    </row>
    <row r="19" spans="1:18" s="15" customFormat="1" x14ac:dyDescent="0.25">
      <c r="A19" s="14"/>
      <c r="C19" s="16"/>
      <c r="D19" s="16"/>
      <c r="E19" s="17"/>
      <c r="F19" s="17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8" s="15" customFormat="1" x14ac:dyDescent="0.25">
      <c r="A20" s="14" t="s">
        <v>32</v>
      </c>
      <c r="C20" s="16"/>
      <c r="D20" s="16"/>
      <c r="E20" s="17"/>
      <c r="F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3" spans="1:18" x14ac:dyDescent="0.25">
      <c r="B23" t="s">
        <v>33</v>
      </c>
    </row>
    <row r="26" spans="1:18" x14ac:dyDescent="0.25">
      <c r="D26" t="s">
        <v>34</v>
      </c>
    </row>
    <row r="28" spans="1:18" x14ac:dyDescent="0.25">
      <c r="F28" t="s">
        <v>34</v>
      </c>
      <c r="G28" t="s">
        <v>35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</dc:creator>
  <cp:lastModifiedBy>SANDESH</cp:lastModifiedBy>
  <dcterms:created xsi:type="dcterms:W3CDTF">2025-10-31T07:39:40Z</dcterms:created>
  <dcterms:modified xsi:type="dcterms:W3CDTF">2025-11-06T13:06:15Z</dcterms:modified>
</cp:coreProperties>
</file>